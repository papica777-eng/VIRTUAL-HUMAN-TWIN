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F Detailed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1A365D"/>
      <sz val="16"/>
    </font>
    <font>
      <name val="Segoe UI"/>
      <i val="1"/>
      <color rgb="004A5568"/>
      <sz val="11"/>
    </font>
    <font>
      <name val="Segoe UI"/>
      <b val="1"/>
      <color rgb="00FFFFFF"/>
      <sz val="10"/>
    </font>
    <font>
      <name val="Segoe UI"/>
      <b val="1"/>
      <sz val="10"/>
    </font>
    <font>
      <name val="Segoe UI"/>
      <b val="1"/>
      <color rgb="002B6CB0"/>
      <sz val="10"/>
    </font>
    <font>
      <name val="Segoe UI"/>
      <color rgb="002D3748"/>
      <sz val="10"/>
    </font>
    <font>
      <name val="Segoe UI"/>
      <b val="1"/>
      <color rgb="00000000"/>
      <sz val="10"/>
    </font>
    <font>
      <name val="Segoe UI"/>
      <b val="1"/>
      <color rgb="001A365D"/>
      <sz val="11"/>
    </font>
    <font>
      <name val="Segoe UI"/>
      <b val="1"/>
      <color rgb="002B6CB0"/>
      <sz val="11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</fills>
  <borders count="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1A365D"/>
      </top>
      <bottom style="double">
        <color rgb="001A365D"/>
      </bottom>
    </border>
    <border>
      <bottom style="medium">
        <color rgb="002B6C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/>
    </xf>
    <xf numFmtId="4" fontId="6" fillId="3" borderId="1" applyAlignment="1" pivotButton="0" quotePrefix="0" xfId="0">
      <alignment horizontal="right"/>
    </xf>
    <xf numFmtId="4" fontId="7" fillId="3" borderId="1" applyAlignment="1" pivotButton="0" quotePrefix="0" xfId="0">
      <alignment horizontal="right"/>
    </xf>
    <xf numFmtId="4" fontId="5" fillId="3" borderId="1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4" fontId="6" fillId="0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  <xf numFmtId="0" fontId="8" fillId="0" borderId="2" pivotButton="0" quotePrefix="0" xfId="0"/>
    <xf numFmtId="4" fontId="8" fillId="0" borderId="2" applyAlignment="1" pivotButton="0" quotePrefix="0" xfId="0">
      <alignment horizontal="right"/>
    </xf>
    <xf numFmtId="0" fontId="9" fillId="0" borderId="3" pivotButton="0" quotePrefix="0" xfId="0"/>
    <xf numFmtId="4" fontId="9" fillId="0" borderId="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7" customWidth="1" min="3" max="3"/>
    <col width="25" customWidth="1" min="4" max="4"/>
    <col width="20" customWidth="1" min="5" max="5"/>
    <col width="26" customWidth="1" min="6" max="6"/>
  </cols>
  <sheetData>
    <row r="1">
      <c r="A1" s="1" t="inlineStr">
        <is>
          <t>CONNECTING EUROPE FACILITY (CEF) - DETAILED BUDGET WORKS TABLE</t>
        </is>
      </c>
    </row>
    <row r="2">
      <c r="A2" s="2" t="inlineStr">
        <is>
          <t>Project Acronym: AETERNA-SCW  // Proposal ID: CEF-DIG-2026-SMART-CABLES-101538202</t>
        </is>
      </c>
    </row>
    <row r="4" ht="28" customHeight="1">
      <c r="A4" s="3" t="inlineStr">
        <is>
          <t>Cost Category / Work Package</t>
        </is>
      </c>
      <c r="B4" s="3" t="inlineStr">
        <is>
          <t>AETERNA (BG - Lead)</t>
        </is>
      </c>
      <c r="C4" s="3" t="inlineStr">
        <is>
          <t>Hellenic Authority (GR)</t>
        </is>
      </c>
      <c r="D4" s="3" t="inlineStr">
        <is>
          <t>Munich Institute (DE)</t>
        </is>
      </c>
      <c r="E4" s="3">
        <f>SUM(B4:D4)</f>
        <v/>
      </c>
      <c r="F4" s="3">
        <f>ROUND(E4*0.5, 2)</f>
        <v/>
      </c>
    </row>
    <row r="5">
      <c r="A5" s="4" t="inlineStr">
        <is>
          <t>A. Direct Personnel Costs</t>
        </is>
      </c>
      <c r="B5" s="5" t="n">
        <v>3500000</v>
      </c>
      <c r="C5" s="5" t="n">
        <v>2000000</v>
      </c>
      <c r="D5" s="5" t="n">
        <v>2200000</v>
      </c>
      <c r="E5" s="6">
        <f>SUM(B5:D5)</f>
        <v/>
      </c>
      <c r="F5" s="7">
        <f>ROUND(E5*0.5, 2)</f>
        <v/>
      </c>
    </row>
    <row r="6">
      <c r="A6" s="8" t="inlineStr">
        <is>
          <t>B. Direct Subcontracting Costs</t>
        </is>
      </c>
      <c r="B6" s="9" t="n">
        <v>1000000</v>
      </c>
      <c r="C6" s="9" t="n">
        <v>500000</v>
      </c>
      <c r="D6" s="9" t="n">
        <v>0</v>
      </c>
      <c r="E6" s="10">
        <f>SUM(B6:D6)</f>
        <v/>
      </c>
      <c r="F6" s="11">
        <f>ROUND(E6*0.5, 2)</f>
        <v/>
      </c>
    </row>
    <row r="7">
      <c r="A7" s="4" t="inlineStr">
        <is>
          <t>C. Direct Purchase: Travel</t>
        </is>
      </c>
      <c r="B7" s="5" t="n">
        <v>200000</v>
      </c>
      <c r="C7" s="5" t="n">
        <v>150000</v>
      </c>
      <c r="D7" s="5" t="n">
        <v>100000</v>
      </c>
      <c r="E7" s="6">
        <f>SUM(B7:D7)</f>
        <v/>
      </c>
      <c r="F7" s="7">
        <f>ROUND(E7*0.5, 2)</f>
        <v/>
      </c>
    </row>
    <row r="8">
      <c r="A8" s="8" t="inlineStr">
        <is>
          <t>D. Direct Purchase: Equipment</t>
        </is>
      </c>
      <c r="B8" s="9" t="n">
        <v>3800000</v>
      </c>
      <c r="C8" s="9" t="n">
        <v>2500000</v>
      </c>
      <c r="D8" s="9" t="n">
        <v>1800000</v>
      </c>
      <c r="E8" s="10">
        <f>SUM(B8:D8)</f>
        <v/>
      </c>
      <c r="F8" s="11">
        <f>ROUND(E8*0.5, 2)</f>
        <v/>
      </c>
    </row>
    <row r="9">
      <c r="A9" s="4" t="inlineStr">
        <is>
          <t>E. Direct Purchase: Other goods &amp; services</t>
        </is>
      </c>
      <c r="B9" s="5">
        <f>ROUND((B4+B6+B7+B8)*0.07, 2)</f>
        <v/>
      </c>
      <c r="C9" s="5">
        <f>ROUND((C4+C6+C7+C8)*0.07, 2)</f>
        <v/>
      </c>
      <c r="D9" s="5">
        <f>ROUND((D4+D6+D7+D8)*0.07, 2)</f>
        <v/>
      </c>
      <c r="E9" s="6">
        <f>SUM(B9:D9)</f>
        <v/>
      </c>
      <c r="F9" s="7">
        <f>ROUND(E9*0.5, 2)</f>
        <v/>
      </c>
    </row>
    <row r="10">
      <c r="A10" s="12" t="inlineStr">
        <is>
          <t>F. Indirect Costs (7% Flat Rate)</t>
        </is>
      </c>
      <c r="B10" s="13">
        <f>ROUND(SUM(B4:B9), 2)</f>
        <v/>
      </c>
      <c r="C10" s="13">
        <f>ROUND(SUM(C4:C9), 2)</f>
        <v/>
      </c>
      <c r="D10" s="13">
        <f>ROUND(SUM(D4:D9), 2)</f>
        <v/>
      </c>
      <c r="E10" s="14">
        <f>SUM(B10:D10)</f>
        <v/>
      </c>
      <c r="F10" s="14">
        <f>ROUND(E10*0.5, 2)</f>
        <v/>
      </c>
    </row>
    <row r="11">
      <c r="A11" s="15" t="inlineStr">
        <is>
          <t>Total Estimated Costs</t>
        </is>
      </c>
      <c r="B11" s="16">
        <f>ROUND(B10*0.5, 2)</f>
        <v/>
      </c>
      <c r="C11" s="16">
        <f>ROUND(C10*0.5, 2)</f>
        <v/>
      </c>
      <c r="D11" s="16">
        <f>ROUND(D10*0.5, 2)</f>
        <v/>
      </c>
      <c r="E11" s="16">
        <f>SUM(B11:D11)</f>
        <v/>
      </c>
      <c r="F11" s="16">
        <f>ROUND(E11*0.5, 2)</f>
        <v/>
      </c>
    </row>
    <row r="12">
      <c r="A12" s="17" t="inlineStr">
        <is>
          <t>EU Co-funding Requested (Grant)</t>
        </is>
      </c>
      <c r="B12" s="18">
        <f>B11*0.5</f>
        <v/>
      </c>
      <c r="C12" s="18">
        <f>C11*0.5</f>
        <v/>
      </c>
      <c r="D12" s="18">
        <f>D11*0.5</f>
        <v/>
      </c>
      <c r="E12" s="18">
        <f>E11*0.5</f>
        <v/>
      </c>
      <c r="F12" s="18">
        <f>F11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2026-05-20T12:49:36Z</dcterms:created>
  <dcterms:modified xsi:type="dcterms:W3CDTF">2026-06-19T13:13:59Z</dcterms:modified>
</cp:coreProperties>
</file>